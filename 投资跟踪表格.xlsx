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aqi\Desktop\"/>
    </mc:Choice>
  </mc:AlternateContent>
  <xr:revisionPtr revIDLastSave="0" documentId="13_ncr:1_{9A85E75A-CDE6-403E-9E3A-688E58BC5C4F}" xr6:coauthVersionLast="47" xr6:coauthVersionMax="47" xr10:uidLastSave="{00000000-0000-0000-0000-000000000000}"/>
  <bookViews>
    <workbookView xWindow="-108" yWindow="-108" windowWidth="30936" windowHeight="16776" xr2:uid="{14368820-D18B-41CF-B4C8-42FCC7234879}"/>
  </bookViews>
  <sheets>
    <sheet name="投资跟踪表格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D5" i="1"/>
  <c r="D6" i="1"/>
  <c r="D7" i="1"/>
  <c r="D8" i="1"/>
  <c r="D9" i="1"/>
  <c r="D10" i="1"/>
  <c r="D11" i="1"/>
  <c r="D12" i="1"/>
  <c r="D13" i="1"/>
  <c r="D14" i="1"/>
  <c r="D15" i="1"/>
  <c r="D16" i="1"/>
  <c r="E4" i="1"/>
  <c r="D4" i="1"/>
</calcChain>
</file>

<file path=xl/sharedStrings.xml><?xml version="1.0" encoding="utf-8"?>
<sst xmlns="http://schemas.openxmlformats.org/spreadsheetml/2006/main" count="46" uniqueCount="17">
  <si>
    <t>日期</t>
    <phoneticPr fontId="1" type="noConversion"/>
  </si>
  <si>
    <t>投资标的及对应日期价格</t>
    <phoneticPr fontId="1" type="noConversion"/>
  </si>
  <si>
    <t>Amazon</t>
    <phoneticPr fontId="1" type="noConversion"/>
  </si>
  <si>
    <t>Facebook</t>
    <phoneticPr fontId="1" type="noConversion"/>
  </si>
  <si>
    <t>Apple</t>
    <phoneticPr fontId="1" type="noConversion"/>
  </si>
  <si>
    <t>Tencent</t>
    <phoneticPr fontId="1" type="noConversion"/>
  </si>
  <si>
    <t>Alibaba</t>
    <phoneticPr fontId="1" type="noConversion"/>
  </si>
  <si>
    <t>10年期美国国债</t>
    <phoneticPr fontId="1" type="noConversion"/>
  </si>
  <si>
    <t>10年期中国国债</t>
    <phoneticPr fontId="1" type="noConversion"/>
  </si>
  <si>
    <t>涨跌幅</t>
    <phoneticPr fontId="1" type="noConversion"/>
  </si>
  <si>
    <t>当前仓位</t>
    <phoneticPr fontId="1" type="noConversion"/>
  </si>
  <si>
    <t>NVDA</t>
    <phoneticPr fontId="1" type="noConversion"/>
  </si>
  <si>
    <t>初始仓位(美元）</t>
    <phoneticPr fontId="1" type="noConversion"/>
  </si>
  <si>
    <t>国际版黄金9999AU9999</t>
    <phoneticPr fontId="1" type="noConversion"/>
  </si>
  <si>
    <t>比特币（美元）</t>
    <phoneticPr fontId="1" type="noConversion"/>
  </si>
  <si>
    <t>Google（GOOGL)</t>
    <phoneticPr fontId="1" type="noConversion"/>
  </si>
  <si>
    <t>涨跌幅（绿涨红跌）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</si>
</sst>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;@"/>
    <numFmt numFmtId="178" formatCode="#,##0.00_ "/>
    <numFmt numFmtId="180" formatCode="[Green]\+0.00%;[Red]\-0.00%;0.00%"/>
    <numFmt numFmtId="181" formatCode="\+0.0000;\-0.0000;0.0000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楷体"/>
      <family val="3"/>
      <charset val="134"/>
    </font>
    <font>
      <sz val="20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B0D5-2977-4A9A-AB86-75433F284EA2}">
  <dimension ref="A1:AI16"/>
  <sheetViews>
    <sheetView tabSelected="1" zoomScale="115" zoomScaleNormal="115" workbookViewId="0">
      <selection activeCell="B8" sqref="B8"/>
    </sheetView>
  </sheetViews>
  <sheetFormatPr defaultRowHeight="14.4" x14ac:dyDescent="0.25"/>
  <cols>
    <col min="1" max="1" width="21.88671875" style="1" bestFit="1" customWidth="1"/>
    <col min="2" max="2" width="32.21875" style="1" bestFit="1" customWidth="1"/>
    <col min="3" max="3" width="46.77734375" style="1" bestFit="1" customWidth="1"/>
    <col min="4" max="4" width="38.44140625" style="1" bestFit="1" customWidth="1"/>
    <col min="5" max="5" width="17.77734375" style="1" bestFit="1" customWidth="1"/>
    <col min="6" max="6" width="46.77734375" style="1" bestFit="1" customWidth="1"/>
    <col min="7" max="7" width="13.5546875" style="1" bestFit="1" customWidth="1"/>
    <col min="8" max="8" width="17.77734375" style="1" bestFit="1" customWidth="1"/>
    <col min="9" max="9" width="46.77734375" style="1" bestFit="1" customWidth="1"/>
    <col min="10" max="10" width="13.5546875" style="1" bestFit="1" customWidth="1"/>
    <col min="11" max="11" width="17.77734375" style="1" bestFit="1" customWidth="1"/>
    <col min="12" max="12" width="46.77734375" style="1" bestFit="1" customWidth="1"/>
    <col min="13" max="13" width="13.5546875" style="1" bestFit="1" customWidth="1"/>
    <col min="14" max="14" width="17.77734375" style="1" bestFit="1" customWidth="1"/>
    <col min="15" max="15" width="46.77734375" style="1" bestFit="1" customWidth="1"/>
    <col min="16" max="16" width="13.5546875" style="1" bestFit="1" customWidth="1"/>
    <col min="17" max="17" width="17.77734375" style="1" bestFit="1" customWidth="1"/>
    <col min="18" max="18" width="46.77734375" style="1" bestFit="1" customWidth="1"/>
    <col min="19" max="19" width="13.5546875" style="1" bestFit="1" customWidth="1"/>
    <col min="20" max="20" width="17.77734375" style="1" bestFit="1" customWidth="1"/>
    <col min="21" max="21" width="46.77734375" style="1" bestFit="1" customWidth="1"/>
    <col min="22" max="22" width="13.5546875" style="1" bestFit="1" customWidth="1"/>
    <col min="23" max="23" width="17.77734375" style="1" bestFit="1" customWidth="1"/>
    <col min="24" max="24" width="46.77734375" style="1" bestFit="1" customWidth="1"/>
    <col min="25" max="25" width="13.5546875" style="1" bestFit="1" customWidth="1"/>
    <col min="26" max="26" width="17.77734375" style="1" bestFit="1" customWidth="1"/>
    <col min="27" max="27" width="46.77734375" style="1" bestFit="1" customWidth="1"/>
    <col min="28" max="28" width="13.5546875" style="1" bestFit="1" customWidth="1"/>
    <col min="29" max="29" width="17.77734375" style="1" bestFit="1" customWidth="1"/>
    <col min="30" max="30" width="46.77734375" style="1" bestFit="1" customWidth="1"/>
    <col min="31" max="31" width="13.5546875" style="1" bestFit="1" customWidth="1"/>
    <col min="32" max="32" width="17.77734375" style="1" bestFit="1" customWidth="1"/>
    <col min="33" max="33" width="46.77734375" style="1" bestFit="1" customWidth="1"/>
    <col min="34" max="34" width="13.5546875" style="1" bestFit="1" customWidth="1"/>
    <col min="35" max="35" width="17.77734375" style="1" bestFit="1" customWidth="1"/>
    <col min="36" max="16384" width="8.88671875" style="1"/>
  </cols>
  <sheetData>
    <row r="1" spans="1:35" ht="25.8" x14ac:dyDescent="0.25">
      <c r="A1" s="2" t="s">
        <v>0</v>
      </c>
      <c r="B1" s="2" t="s">
        <v>12</v>
      </c>
      <c r="C1" s="2" t="s">
        <v>1</v>
      </c>
      <c r="D1" s="2" t="s">
        <v>16</v>
      </c>
      <c r="E1" s="2" t="s">
        <v>10</v>
      </c>
      <c r="F1" s="2" t="s">
        <v>1</v>
      </c>
      <c r="G1" s="2" t="s">
        <v>9</v>
      </c>
      <c r="H1" s="2" t="s">
        <v>10</v>
      </c>
      <c r="I1" s="2" t="s">
        <v>1</v>
      </c>
      <c r="J1" s="2" t="s">
        <v>9</v>
      </c>
      <c r="K1" s="2" t="s">
        <v>10</v>
      </c>
      <c r="L1" s="2" t="s">
        <v>1</v>
      </c>
      <c r="M1" s="2" t="s">
        <v>9</v>
      </c>
      <c r="N1" s="2" t="s">
        <v>10</v>
      </c>
      <c r="O1" s="2" t="s">
        <v>1</v>
      </c>
      <c r="P1" s="2" t="s">
        <v>9</v>
      </c>
      <c r="Q1" s="2" t="s">
        <v>10</v>
      </c>
      <c r="R1" s="2" t="s">
        <v>1</v>
      </c>
      <c r="S1" s="2" t="s">
        <v>9</v>
      </c>
      <c r="T1" s="2" t="s">
        <v>10</v>
      </c>
      <c r="U1" s="2" t="s">
        <v>1</v>
      </c>
      <c r="V1" s="2" t="s">
        <v>9</v>
      </c>
      <c r="W1" s="2" t="s">
        <v>10</v>
      </c>
      <c r="X1" s="2" t="s">
        <v>1</v>
      </c>
      <c r="Y1" s="2" t="s">
        <v>9</v>
      </c>
      <c r="Z1" s="2" t="s">
        <v>10</v>
      </c>
      <c r="AA1" s="2" t="s">
        <v>1</v>
      </c>
      <c r="AB1" s="2" t="s">
        <v>9</v>
      </c>
      <c r="AC1" s="2" t="s">
        <v>10</v>
      </c>
      <c r="AD1" s="2" t="s">
        <v>1</v>
      </c>
      <c r="AE1" s="2" t="s">
        <v>9</v>
      </c>
      <c r="AF1" s="2" t="s">
        <v>10</v>
      </c>
      <c r="AG1" s="2" t="s">
        <v>1</v>
      </c>
      <c r="AH1" s="2" t="s">
        <v>9</v>
      </c>
      <c r="AI1" s="2" t="s">
        <v>10</v>
      </c>
    </row>
    <row r="2" spans="1:35" ht="25.8" x14ac:dyDescent="0.25">
      <c r="A2" s="2"/>
      <c r="B2" s="2">
        <v>1</v>
      </c>
      <c r="C2" s="2" t="s">
        <v>15</v>
      </c>
      <c r="D2" s="2"/>
      <c r="E2" s="2"/>
      <c r="F2" s="2" t="s">
        <v>2</v>
      </c>
      <c r="G2" s="2"/>
      <c r="H2" s="2"/>
      <c r="I2" s="2" t="s">
        <v>3</v>
      </c>
      <c r="J2" s="2"/>
      <c r="K2" s="2"/>
      <c r="L2" s="2" t="s">
        <v>4</v>
      </c>
      <c r="M2" s="2"/>
      <c r="N2" s="2"/>
      <c r="O2" s="2" t="s">
        <v>5</v>
      </c>
      <c r="P2" s="2"/>
      <c r="Q2" s="2"/>
      <c r="R2" s="2" t="s">
        <v>6</v>
      </c>
      <c r="S2" s="2"/>
      <c r="T2" s="2"/>
      <c r="U2" s="2" t="s">
        <v>11</v>
      </c>
      <c r="V2" s="2"/>
      <c r="W2" s="2"/>
      <c r="X2" s="2" t="s">
        <v>13</v>
      </c>
      <c r="Y2" s="2"/>
      <c r="Z2" s="2"/>
      <c r="AA2" s="2" t="s">
        <v>7</v>
      </c>
      <c r="AB2" s="2"/>
      <c r="AC2" s="2"/>
      <c r="AD2" s="2" t="s">
        <v>8</v>
      </c>
      <c r="AE2" s="2"/>
      <c r="AF2" s="2"/>
      <c r="AG2" s="2" t="s">
        <v>14</v>
      </c>
      <c r="AH2" s="2"/>
      <c r="AI2" s="2"/>
    </row>
    <row r="3" spans="1:35" ht="25.8" x14ac:dyDescent="0.25">
      <c r="A3" s="3">
        <v>45992</v>
      </c>
      <c r="B3" s="2"/>
      <c r="C3" s="4">
        <v>313</v>
      </c>
      <c r="D3" s="2"/>
      <c r="E3" s="2"/>
      <c r="F3" s="2">
        <v>233.88</v>
      </c>
      <c r="G3" s="2"/>
      <c r="H3" s="2"/>
      <c r="I3" s="2">
        <v>640.87</v>
      </c>
      <c r="J3" s="2"/>
      <c r="K3" s="2"/>
      <c r="L3" s="2">
        <v>283.10000000000002</v>
      </c>
      <c r="M3" s="2"/>
      <c r="N3" s="2"/>
      <c r="O3" s="2">
        <v>619.5</v>
      </c>
      <c r="P3" s="2"/>
      <c r="Q3" s="2"/>
      <c r="R3" s="2">
        <v>164.26</v>
      </c>
      <c r="S3" s="2"/>
      <c r="T3" s="2"/>
      <c r="U3" s="2">
        <v>179.91</v>
      </c>
      <c r="V3" s="2"/>
      <c r="W3" s="2"/>
      <c r="X3" s="2">
        <v>958.46</v>
      </c>
      <c r="Y3" s="2"/>
      <c r="Z3" s="2"/>
      <c r="AA3" s="2">
        <v>4.0961999999999996</v>
      </c>
      <c r="AB3" s="2"/>
      <c r="AC3" s="2"/>
      <c r="AD3" s="2">
        <v>1.827</v>
      </c>
      <c r="AE3" s="2"/>
      <c r="AF3" s="2"/>
      <c r="AG3" s="5">
        <v>86309.1</v>
      </c>
      <c r="AH3" s="2"/>
      <c r="AI3" s="2"/>
    </row>
    <row r="4" spans="1:35" ht="25.8" x14ac:dyDescent="0.25">
      <c r="A4" s="3">
        <v>46023</v>
      </c>
      <c r="B4" s="2"/>
      <c r="C4" s="4">
        <v>338</v>
      </c>
      <c r="D4" s="6">
        <f>(C4-C$3)/C$3</f>
        <v>7.9872204472843447E-2</v>
      </c>
      <c r="E4" s="7">
        <f>C4/C$3</f>
        <v>1.0798722044728435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25.8" x14ac:dyDescent="0.25">
      <c r="A5" s="3">
        <v>46054</v>
      </c>
      <c r="B5" s="2"/>
      <c r="C5" s="4">
        <v>322.86</v>
      </c>
      <c r="D5" s="6">
        <f t="shared" ref="D5:D16" si="0">(C5-C$3)/C$3</f>
        <v>3.1501597444089501E-2</v>
      </c>
      <c r="E5" s="7">
        <f t="shared" ref="E5:E16" si="1">C5/C$3</f>
        <v>1.0315015974440895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25.8" x14ac:dyDescent="0.25">
      <c r="A6" s="3">
        <v>46082</v>
      </c>
      <c r="B6" s="2"/>
      <c r="C6" s="4"/>
      <c r="D6" s="6">
        <f t="shared" si="0"/>
        <v>-1</v>
      </c>
      <c r="E6" s="7">
        <f t="shared" si="1"/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25.8" x14ac:dyDescent="0.25">
      <c r="A7" s="3">
        <v>46113</v>
      </c>
      <c r="B7" s="2"/>
      <c r="C7" s="4"/>
      <c r="D7" s="6">
        <f t="shared" si="0"/>
        <v>-1</v>
      </c>
      <c r="E7" s="7">
        <f t="shared" si="1"/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25.8" x14ac:dyDescent="0.25">
      <c r="A8" s="3">
        <v>46143</v>
      </c>
      <c r="B8" s="2"/>
      <c r="C8" s="4"/>
      <c r="D8" s="6">
        <f t="shared" si="0"/>
        <v>-1</v>
      </c>
      <c r="E8" s="7">
        <f t="shared" si="1"/>
        <v>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25.8" x14ac:dyDescent="0.25">
      <c r="A9" s="3">
        <v>46174</v>
      </c>
      <c r="B9" s="2"/>
      <c r="C9" s="4"/>
      <c r="D9" s="6">
        <f t="shared" si="0"/>
        <v>-1</v>
      </c>
      <c r="E9" s="7">
        <f t="shared" si="1"/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ht="25.8" x14ac:dyDescent="0.25">
      <c r="A10" s="3">
        <v>46204</v>
      </c>
      <c r="B10" s="2"/>
      <c r="C10" s="4"/>
      <c r="D10" s="6">
        <f t="shared" si="0"/>
        <v>-1</v>
      </c>
      <c r="E10" s="7">
        <f t="shared" si="1"/>
        <v>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25.8" x14ac:dyDescent="0.25">
      <c r="A11" s="3">
        <v>46235</v>
      </c>
      <c r="B11" s="2"/>
      <c r="C11" s="4"/>
      <c r="D11" s="6">
        <f t="shared" si="0"/>
        <v>-1</v>
      </c>
      <c r="E11" s="7">
        <f t="shared" si="1"/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ht="25.8" x14ac:dyDescent="0.25">
      <c r="A12" s="3">
        <v>46266</v>
      </c>
      <c r="B12" s="2"/>
      <c r="C12" s="4"/>
      <c r="D12" s="6">
        <f t="shared" si="0"/>
        <v>-1</v>
      </c>
      <c r="E12" s="7">
        <f t="shared" si="1"/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ht="25.8" x14ac:dyDescent="0.25">
      <c r="A13" s="3">
        <v>46296</v>
      </c>
      <c r="B13" s="2"/>
      <c r="C13" s="4"/>
      <c r="D13" s="6">
        <f t="shared" si="0"/>
        <v>-1</v>
      </c>
      <c r="E13" s="7">
        <f t="shared" si="1"/>
        <v>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25.8" x14ac:dyDescent="0.25">
      <c r="A14" s="3">
        <v>46327</v>
      </c>
      <c r="B14" s="2"/>
      <c r="C14" s="4"/>
      <c r="D14" s="6">
        <f t="shared" si="0"/>
        <v>-1</v>
      </c>
      <c r="E14" s="7">
        <f t="shared" si="1"/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ht="25.8" x14ac:dyDescent="0.25">
      <c r="A15" s="3">
        <v>46357</v>
      </c>
      <c r="B15" s="2"/>
      <c r="C15" s="4"/>
      <c r="D15" s="6">
        <f t="shared" si="0"/>
        <v>-1</v>
      </c>
      <c r="E15" s="7">
        <f t="shared" si="1"/>
        <v>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25.8" x14ac:dyDescent="0.25">
      <c r="A16" s="3">
        <v>46388</v>
      </c>
      <c r="B16" s="2"/>
      <c r="C16" s="4"/>
      <c r="D16" s="6">
        <f t="shared" si="0"/>
        <v>-1</v>
      </c>
      <c r="E16" s="7">
        <f t="shared" si="1"/>
        <v>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投资跟踪表格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JIAQI LU</dc:creator>
  <cp:lastModifiedBy>JIAQI LU</cp:lastModifiedBy>
  <dcterms:created xsi:type="dcterms:W3CDTF">2025-12-09T13:31:14Z</dcterms:created>
  <dcterms:modified xsi:type="dcterms:W3CDTF">2026-02-09T04:53:44Z</dcterms:modified>
</cp:coreProperties>
</file>